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ithum Seneviratne\Desktop\Phoenix\Phoenix v6\"/>
    </mc:Choice>
  </mc:AlternateContent>
  <xr:revisionPtr revIDLastSave="0" documentId="13_ncr:1_{B511C455-4B48-431B-AA9E-0D67752450E3}" xr6:coauthVersionLast="47" xr6:coauthVersionMax="47" xr10:uidLastSave="{00000000-0000-0000-0000-000000000000}"/>
  <bookViews>
    <workbookView xWindow="-24120" yWindow="3105" windowWidth="24240" windowHeight="137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E47" i="1"/>
  <c r="E30" i="1"/>
  <c r="E41" i="1" s="1"/>
  <c r="E38" i="1"/>
  <c r="E27" i="1"/>
  <c r="E28" i="1" s="1"/>
  <c r="E29" i="1" s="1"/>
  <c r="G29" i="1" s="1"/>
  <c r="E35" i="1"/>
  <c r="E36" i="1" s="1"/>
  <c r="E37" i="1" s="1"/>
  <c r="G37" i="1" s="1"/>
  <c r="B50" i="1"/>
  <c r="E45" i="1" s="1"/>
  <c r="G45" i="1" s="1"/>
  <c r="E46" i="1"/>
  <c r="G46" i="1" s="1"/>
  <c r="B55" i="1"/>
  <c r="B61" i="1" s="1"/>
  <c r="B62" i="1" s="1"/>
  <c r="E2" i="1"/>
  <c r="E3" i="1" s="1"/>
  <c r="E5" i="1" s="1"/>
  <c r="B15" i="1"/>
  <c r="B14" i="1"/>
  <c r="E6" i="1" l="1"/>
  <c r="G3" i="1"/>
  <c r="G5" i="1" l="1"/>
  <c r="E9" i="1"/>
  <c r="E16" i="1" s="1"/>
  <c r="G16" i="1" s="1"/>
  <c r="E20" i="1"/>
  <c r="G20" i="1" s="1"/>
  <c r="E7" i="1"/>
  <c r="E11" i="1" s="1"/>
  <c r="G11" i="1" s="1"/>
  <c r="E10" i="1"/>
  <c r="G10" i="1" s="1"/>
  <c r="G6" i="1"/>
  <c r="G7" i="1" l="1"/>
  <c r="G9" i="1"/>
  <c r="E14" i="1"/>
  <c r="G14" i="1" s="1"/>
  <c r="E19" i="1" l="1"/>
  <c r="G19" i="1" s="1"/>
  <c r="E18" i="1" l="1"/>
  <c r="E13" i="1" s="1"/>
  <c r="G18" i="1" l="1"/>
  <c r="G13" i="1"/>
  <c r="E15" i="1"/>
  <c r="G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Lithum Seneviratne</author>
  </authors>
  <commentList>
    <comment ref="A59" authorId="0" shapeId="0" xr:uid="{3E4DEB2D-DE32-4ED4-B67A-236E9DDEB3DE}">
      <text>
        <r>
          <rPr>
            <b/>
            <sz val="9"/>
            <color indexed="81"/>
            <rFont val="Tahoma"/>
            <family val="2"/>
          </rPr>
          <t>Lithum Seneviratne:</t>
        </r>
        <r>
          <rPr>
            <sz val="9"/>
            <color indexed="81"/>
            <rFont val="Tahoma"/>
            <family val="2"/>
          </rPr>
          <t xml:space="preserve">
Aluminum</t>
        </r>
      </text>
    </comment>
  </commentList>
</comments>
</file>

<file path=xl/sharedStrings.xml><?xml version="1.0" encoding="utf-8"?>
<sst xmlns="http://schemas.openxmlformats.org/spreadsheetml/2006/main" count="181" uniqueCount="107">
  <si>
    <t>Inputs:</t>
  </si>
  <si>
    <t>Contraction Ratio (Ac/At)</t>
  </si>
  <si>
    <t>Expansion Ratio (Ae/At)</t>
  </si>
  <si>
    <t>Characteristic Chamber Length (L*)</t>
  </si>
  <si>
    <t>Characteristic Exhaust Velocity (C*)</t>
  </si>
  <si>
    <t xml:space="preserve">Gamma </t>
  </si>
  <si>
    <t>Outputs:</t>
  </si>
  <si>
    <t>Isp</t>
  </si>
  <si>
    <t>g</t>
  </si>
  <si>
    <t>Contraction Angle (α)</t>
  </si>
  <si>
    <t>Divergent Angle (α)</t>
  </si>
  <si>
    <t>Exit Velocity</t>
  </si>
  <si>
    <t>Chamber Temperature (R)</t>
  </si>
  <si>
    <t>Chamber Pressure (Pc)</t>
  </si>
  <si>
    <t>Ambient Pressure (P_0)</t>
  </si>
  <si>
    <t>N</t>
  </si>
  <si>
    <t>Pa</t>
  </si>
  <si>
    <t>m</t>
  </si>
  <si>
    <t>m/s</t>
  </si>
  <si>
    <t>K</t>
  </si>
  <si>
    <t>s</t>
  </si>
  <si>
    <t>m/s^2</t>
  </si>
  <si>
    <t>kg/s</t>
  </si>
  <si>
    <t>m^2</t>
  </si>
  <si>
    <t>Area of Throat (At)</t>
  </si>
  <si>
    <t>Chamber Volume (Vc)</t>
  </si>
  <si>
    <t>Converging Chamber Length</t>
  </si>
  <si>
    <t>Diverging Chamber Length (Le)</t>
  </si>
  <si>
    <t>m^3</t>
  </si>
  <si>
    <t>Radius of Throat (Rt)</t>
  </si>
  <si>
    <t>rad</t>
  </si>
  <si>
    <t>Area of Chamber (Ac)</t>
  </si>
  <si>
    <t>Converging Chamber Volume</t>
  </si>
  <si>
    <t>Radius of Chamber (Rc)</t>
  </si>
  <si>
    <t>Cylindrical Chamber Volume</t>
  </si>
  <si>
    <t>mm^2</t>
  </si>
  <si>
    <t>mm</t>
  </si>
  <si>
    <t>mm^3</t>
  </si>
  <si>
    <t>Area:</t>
  </si>
  <si>
    <t>Radius:</t>
  </si>
  <si>
    <t>Lengths:</t>
  </si>
  <si>
    <t>Cylindrical Chamber Length (Lcyl)</t>
  </si>
  <si>
    <t>Chamber Length</t>
  </si>
  <si>
    <t>Volumes:</t>
  </si>
  <si>
    <t>Area of Exit (Ae)</t>
  </si>
  <si>
    <t>Radius of Exit (Re)</t>
  </si>
  <si>
    <t>Mass Flow Rate (ṁ)</t>
  </si>
  <si>
    <t>g/s</t>
  </si>
  <si>
    <t>Thrust (F)</t>
  </si>
  <si>
    <t>Gas Constant (R)</t>
  </si>
  <si>
    <t>Thrust</t>
  </si>
  <si>
    <t>Rc</t>
  </si>
  <si>
    <t>Rt</t>
  </si>
  <si>
    <t>Re</t>
  </si>
  <si>
    <t>Lc</t>
  </si>
  <si>
    <t>ṁ</t>
  </si>
  <si>
    <t>Pc</t>
  </si>
  <si>
    <t>Injector Sizing</t>
  </si>
  <si>
    <t>Discharge Coefficient</t>
  </si>
  <si>
    <t>Number of Orifices</t>
  </si>
  <si>
    <t>Individual Orifice Area</t>
  </si>
  <si>
    <t>Individual Orifice Diameter</t>
  </si>
  <si>
    <t>Total Orifice Area</t>
  </si>
  <si>
    <t>Fuel:</t>
  </si>
  <si>
    <t>Oxidizer:</t>
  </si>
  <si>
    <t>kg/m^3</t>
  </si>
  <si>
    <t>Bartz Equation</t>
  </si>
  <si>
    <t>Specific Heat of Gas at Const P</t>
  </si>
  <si>
    <t>Dynamic Viscosity</t>
  </si>
  <si>
    <t>Prandtl Number</t>
  </si>
  <si>
    <t>Chamber Pressure</t>
  </si>
  <si>
    <t>Throat Area</t>
  </si>
  <si>
    <t>Gamma</t>
  </si>
  <si>
    <t>Gas Constant</t>
  </si>
  <si>
    <t>Chamber Temperature</t>
  </si>
  <si>
    <t>Heat Flux</t>
  </si>
  <si>
    <t>J/Kg * K</t>
  </si>
  <si>
    <t>Pa*s</t>
  </si>
  <si>
    <t>J/Kg*K</t>
  </si>
  <si>
    <t>W/m^2</t>
  </si>
  <si>
    <t>Burn Time</t>
  </si>
  <si>
    <t>J</t>
  </si>
  <si>
    <t>Surface Area of Chamber from Fusion 360</t>
  </si>
  <si>
    <t>Mach Number</t>
  </si>
  <si>
    <t>MW/m^2</t>
  </si>
  <si>
    <t>Heat Flux 2nd Equation</t>
  </si>
  <si>
    <t>O/F</t>
  </si>
  <si>
    <t>Tc</t>
  </si>
  <si>
    <t>Diameter of Section</t>
  </si>
  <si>
    <t>Volume of Chamber Wall</t>
  </si>
  <si>
    <t>Thickness of Chamber Wall</t>
  </si>
  <si>
    <t>Mass of Chamber Wall</t>
  </si>
  <si>
    <t>Density of Chamber Wall Metal</t>
  </si>
  <si>
    <t>kg</t>
  </si>
  <si>
    <t>Heat Load to Chamber Wall</t>
  </si>
  <si>
    <t>Temp Change to Chamber Wall</t>
  </si>
  <si>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</t>
    </r>
  </si>
  <si>
    <t>Specific Heat Capacity of Metal</t>
  </si>
  <si>
    <t>J/kg*C</t>
  </si>
  <si>
    <t>THERMAL</t>
  </si>
  <si>
    <t>Injection Pressure</t>
  </si>
  <si>
    <t>Pressure Drop Across Injector</t>
  </si>
  <si>
    <t>Injection Temperature</t>
  </si>
  <si>
    <t>Injection Density</t>
  </si>
  <si>
    <t>Mass Flow Rate</t>
  </si>
  <si>
    <t>Injection Velocity</t>
  </si>
  <si>
    <t>Momentum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</si>
</sst>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</cellStyleXfs>
  <cellXfs count="14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/>
    <xf numFmtId="11" fontId="0" fillId="0" borderId="0" xfId="0" applyNumberFormat="1"/>
    <xf numFmtId="2" fontId="0" fillId="0" borderId="0" xfId="0" applyNumberFormat="1"/>
    <xf numFmtId="0" fontId="5" fillId="0" borderId="0" xfId="0" applyFont="1"/>
    <xf numFmtId="0" fontId="3" fillId="3" borderId="1" xfId="3"/>
    <xf numFmtId="0" fontId="1" fillId="2" borderId="1" xfId="1"/>
    <xf numFmtId="0" fontId="2" fillId="3" borderId="2" xfId="2"/>
    <xf numFmtId="0" fontId="7" fillId="0" borderId="0" xfId="0" applyFont="1"/>
    <xf numFmtId="0" fontId="1" fillId="2" borderId="1" xfId="1" applyAlignment="1">
      <alignment wrapText="1"/>
    </xf>
    <xf numFmtId="0" fontId="1" fillId="2" borderId="3" xfId="1" applyBorder="1"/>
    <xf numFmtId="0" fontId="1" fillId="2" borderId="0" xfId="1" applyBorder="1"/>
    <xf numFmtId="0" fontId="11" fillId="0" borderId="0" xfId="0" applyFont="1"/>
  </cellXfs>
  <cellStyles count="4">
    <cellStyle name="Calculation" xfId="3" builtinId="22"/>
    <cellStyle name="Input" xfId="1" builtinId="20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</a:t>
            </a:r>
            <a:r>
              <a:rPr lang="en-US" baseline="0"/>
              <a:t> vs. Chamber Radius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Sheet1!$K$2</c:f>
              <c:strCache>
                <c:ptCount val="1"/>
                <c:pt idx="0">
                  <c:v>Rc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7290039427460946"/>
                  <c:y val="-0.185823622535546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Sheet1!$J$3:$J$7</c:f>
              <c:numCache>
                <c:formatCode>General</c:formatCode>
                <c:ptCount val="5"/>
                <c:pt idx="0">
                  <c:v>250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</c:numCache>
            </c:numRef>
          </c:xVal>
          <c:yVal>
            <c:numRef>
              <c:f>Sheet1!$K$3:$K$7</c:f>
              <c:numCache>
                <c:formatCode>0.00</c:formatCode>
                <c:ptCount val="5"/>
                <c:pt idx="0">
                  <c:v>16.874019759856605</c:v>
                </c:pt>
                <c:pt idx="1">
                  <c:v>23.863467596140808</c:v>
                </c:pt>
                <c:pt idx="2">
                  <c:v>33.74803951971321</c:v>
                </c:pt>
                <c:pt idx="3">
                  <c:v>47.726935192281616</c:v>
                </c:pt>
                <c:pt idx="4">
                  <c:v>67.496079039426419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81-40AF-A313-9FC036869A9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24645759"/>
        <c:axId val="524647199"/>
      </c:scatterChart>
      <c:valAx>
        <c:axId val="52464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47199"/>
        <c:crosses val="autoZero"/>
        <c:crossBetween val="midCat"/>
      </c:valAx>
      <c:valAx>
        <c:axId val="52464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Chamber Radius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4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 vs. Throat</a:t>
            </a:r>
            <a:r>
              <a:rPr lang="en-US" baseline="0"/>
              <a:t> Radius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7393659868240302"/>
                  <c:y val="-0.185601069529230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Sheet1!$J$3:$J$7</c:f>
              <c:numCache>
                <c:formatCode>General</c:formatCode>
                <c:ptCount val="5"/>
                <c:pt idx="0">
                  <c:v>250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</c:numCache>
            </c:numRef>
          </c:xVal>
          <c:yVal>
            <c:numRef>
              <c:f>Sheet1!$L$3:$L$7</c:f>
              <c:numCache>
                <c:formatCode>0.00</c:formatCode>
                <c:ptCount val="5"/>
                <c:pt idx="0">
                  <c:v>8.4370098799283024</c:v>
                </c:pt>
                <c:pt idx="1">
                  <c:v>11.931733798070404</c:v>
                </c:pt>
                <c:pt idx="2">
                  <c:v>16.874019759856605</c:v>
                </c:pt>
                <c:pt idx="3">
                  <c:v>23.863467596140808</c:v>
                </c:pt>
                <c:pt idx="4">
                  <c:v>33.74803951971321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C9-4536-9095-2C121A2A17D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38246255"/>
        <c:axId val="1638246735"/>
      </c:scatterChart>
      <c:valAx>
        <c:axId val="163824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46735"/>
        <c:crosses val="autoZero"/>
        <c:crossBetween val="midCat"/>
      </c:valAx>
      <c:valAx>
        <c:axId val="163824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Throat Radius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4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 vs. Exit</a:t>
            </a:r>
            <a:r>
              <a:rPr lang="en-US" baseline="0"/>
              <a:t> Radius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Sheet1!$M$2</c:f>
              <c:strCache>
                <c:ptCount val="1"/>
                <c:pt idx="0">
                  <c:v>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7393659868240302"/>
                  <c:y val="-0.185601069529230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Sheet1!$J$3:$J$7</c:f>
              <c:numCache>
                <c:formatCode>General</c:formatCode>
                <c:ptCount val="5"/>
                <c:pt idx="0">
                  <c:v>250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</c:numCache>
            </c:numRef>
          </c:xVal>
          <c:yVal>
            <c:numRef>
              <c:f>Sheet1!$M$3:$M$7</c:f>
              <c:numCache>
                <c:formatCode>0.00</c:formatCode>
                <c:ptCount val="5"/>
                <c:pt idx="0">
                  <c:v>14.613329775996412</c:v>
                </c:pt>
                <c:pt idx="1">
                  <c:v>20.66636916064471</c:v>
                </c:pt>
                <c:pt idx="2">
                  <c:v>29.226659551992825</c:v>
                </c:pt>
                <c:pt idx="3">
                  <c:v>41.332738321289419</c:v>
                </c:pt>
                <c:pt idx="4">
                  <c:v>58.453319103985649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45-4618-8C6D-D5D6D35968B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38246255"/>
        <c:axId val="1638246735"/>
      </c:scatterChart>
      <c:valAx>
        <c:axId val="163824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46735"/>
        <c:crosses val="autoZero"/>
        <c:crossBetween val="midCat"/>
      </c:valAx>
      <c:valAx>
        <c:axId val="163824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Exit Radius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4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 vs. Chamber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Lc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6981871722797401"/>
                  <c:y val="0.316513413351420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Sheet1!$J$3:$J$7</c:f>
              <c:numCache>
                <c:formatCode>General</c:formatCode>
                <c:ptCount val="5"/>
                <c:pt idx="0">
                  <c:v>250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</c:numCache>
            </c:numRef>
          </c:xVal>
          <c:yVal>
            <c:numRef>
              <c:f>Sheet1!$N$3:$N$7</c:f>
              <c:numCache>
                <c:formatCode>0.00</c:formatCode>
                <c:ptCount val="5"/>
                <c:pt idx="0">
                  <c:v>182.50181864657779</c:v>
                </c:pt>
                <c:pt idx="1">
                  <c:v>185.60917367245366</c:v>
                </c:pt>
                <c:pt idx="2">
                  <c:v>190.00363729315558</c:v>
                </c:pt>
                <c:pt idx="3">
                  <c:v>196.21834734490736</c:v>
                </c:pt>
                <c:pt idx="4">
                  <c:v>205.00727458631118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72-4FE1-8FEA-6A330D7E45D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38246255"/>
        <c:axId val="1638246735"/>
      </c:scatterChart>
      <c:valAx>
        <c:axId val="163824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46735"/>
        <c:crosses val="autoZero"/>
        <c:crossBetween val="midCat"/>
      </c:valAx>
      <c:valAx>
        <c:axId val="163824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Chamber</a:t>
                </a:r>
                <a:r>
                  <a:rPr lang="en-US" baseline="0"/>
                  <a:t> Length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4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Thrust vs. Mass Flow</a:t>
            </a:r>
            <a:r>
              <a:rPr lang="en-US" baseline="0"/>
              <a:t> R</a:t>
            </a:r>
            <a:r>
              <a:rPr lang="en-US"/>
              <a:t>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Sheet1!$O$2</c:f>
              <c:strCache>
                <c:ptCount val="1"/>
                <c:pt idx="0">
                  <c:v>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7393659868240302"/>
                  <c:y val="-0.185601069529230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Sheet1!$J$3:$J$7</c:f>
              <c:numCache>
                <c:formatCode>General</c:formatCode>
                <c:ptCount val="5"/>
                <c:pt idx="0">
                  <c:v>250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</c:numCache>
            </c:numRef>
          </c:xVal>
          <c:yVal>
            <c:numRef>
              <c:f>Sheet1!$O$3:$O$7</c:f>
              <c:numCache>
                <c:formatCode>0.00</c:formatCode>
                <c:ptCount val="5"/>
                <c:pt idx="0">
                  <c:v>165.65067585475748</c:v>
                </c:pt>
                <c:pt idx="1">
                  <c:v>331.30135170951496</c:v>
                </c:pt>
                <c:pt idx="2">
                  <c:v>662.60270341902992</c:v>
                </c:pt>
                <c:pt idx="3">
                  <c:v>1325.2054068380598</c:v>
                </c:pt>
                <c:pt idx="4">
                  <c:v>2650.4108136761197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3F-4910-8CB5-958DC36B4B6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38246255"/>
        <c:axId val="1638246735"/>
      </c:scatterChart>
      <c:valAx>
        <c:axId val="163824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Thrust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46735"/>
        <c:crosses val="autoZero"/>
        <c:crossBetween val="midCat"/>
      </c:valAx>
      <c:valAx>
        <c:axId val="163824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Massf</a:t>
                </a:r>
                <a:r>
                  <a:rPr lang="en-US" baseline="0"/>
                  <a:t> Flow Rate (g/s)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24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Chamber Pressure vs. Chamber</a:t>
            </a:r>
            <a:r>
              <a:rPr lang="en-US" baseline="0"/>
              <a:t> Radius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Sheet1!$Y$2</c:f>
              <c:strCache>
                <c:ptCount val="1"/>
                <c:pt idx="0">
                  <c:v>Rc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7237368472405523"/>
                  <c:y val="-0.409815720032364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Sheet1!$X$3:$X$7</c:f>
              <c:numCache>
                <c:formatCode>General</c:formatCode>
                <c:ptCount val="5"/>
                <c:pt idx="0">
                  <c:v>250000</c:v>
                </c:pt>
                <c:pt idx="1">
                  <c:v>500000</c:v>
                </c:pt>
                <c:pt idx="2">
                  <c:v>1000000</c:v>
                </c:pt>
                <c:pt idx="3">
                  <c:v>2000000</c:v>
                </c:pt>
                <c:pt idx="4">
                  <c:v>4000000</c:v>
                </c:pt>
              </c:numCache>
            </c:numRef>
          </c:xVal>
          <c:yVal>
            <c:numRef>
              <c:f>Sheet1!$Y$3:$Y$7</c:f>
              <c:numCache>
                <c:formatCode>0.00</c:formatCode>
                <c:ptCount val="5"/>
                <c:pt idx="0">
                  <c:v>67.496079039426419</c:v>
                </c:pt>
                <c:pt idx="1">
                  <c:v>47.726935192281616</c:v>
                </c:pt>
                <c:pt idx="2">
                  <c:v>33.74803951971321</c:v>
                </c:pt>
                <c:pt idx="3">
                  <c:v>23.863467596140808</c:v>
                </c:pt>
                <c:pt idx="4">
                  <c:v>16.874019759856605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D0-451C-AAEB-A0253DCE372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24645759"/>
        <c:axId val="524647199"/>
      </c:scatterChart>
      <c:valAx>
        <c:axId val="52464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Chamber Pressure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47199"/>
        <c:crosses val="autoZero"/>
        <c:crossBetween val="midCat"/>
      </c:valAx>
      <c:valAx>
        <c:axId val="52464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Chamber Radius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4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Chamber Pressure vs. Throat</a:t>
            </a:r>
            <a:r>
              <a:rPr lang="en-US" baseline="0"/>
              <a:t> Radius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Sheet1!$Z$2</c:f>
              <c:strCache>
                <c:ptCount val="1"/>
                <c:pt idx="0">
                  <c:v>Rt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7237368472405523"/>
                  <c:y val="-0.409815720032364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Sheet1!$X$3:$X$7</c:f>
              <c:numCache>
                <c:formatCode>General</c:formatCode>
                <c:ptCount val="5"/>
                <c:pt idx="0">
                  <c:v>250000</c:v>
                </c:pt>
                <c:pt idx="1">
                  <c:v>500000</c:v>
                </c:pt>
                <c:pt idx="2">
                  <c:v>1000000</c:v>
                </c:pt>
                <c:pt idx="3">
                  <c:v>2000000</c:v>
                </c:pt>
                <c:pt idx="4">
                  <c:v>4000000</c:v>
                </c:pt>
              </c:numCache>
            </c:numRef>
          </c:xVal>
          <c:yVal>
            <c:numRef>
              <c:f>Sheet1!$Z$3:$Z$7</c:f>
              <c:numCache>
                <c:formatCode>0.00</c:formatCode>
                <c:ptCount val="5"/>
                <c:pt idx="0">
                  <c:v>33.74803951971321</c:v>
                </c:pt>
                <c:pt idx="1">
                  <c:v>23.863467596140808</c:v>
                </c:pt>
                <c:pt idx="2">
                  <c:v>16.874019759856605</c:v>
                </c:pt>
                <c:pt idx="3">
                  <c:v>11.931733798070404</c:v>
                </c:pt>
                <c:pt idx="4">
                  <c:v>8.4370098799283024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CA-4C52-A8FE-837C82D84B1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24645759"/>
        <c:axId val="524647199"/>
      </c:scatterChart>
      <c:valAx>
        <c:axId val="52464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Chamber Pressure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47199"/>
        <c:crosses val="autoZero"/>
        <c:crossBetween val="midCat"/>
      </c:valAx>
      <c:valAx>
        <c:axId val="52464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Throat Radius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4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Chamber Pressure vs. Exit</a:t>
            </a:r>
            <a:r>
              <a:rPr lang="en-US" baseline="0"/>
              <a:t> Radius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Sheet1!$AA$2</c:f>
              <c:strCache>
                <c:ptCount val="1"/>
                <c:pt idx="0">
                  <c:v>Re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7237368472405523"/>
                  <c:y val="-0.409815720032364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Sheet1!$X$3:$X$7</c:f>
              <c:numCache>
                <c:formatCode>General</c:formatCode>
                <c:ptCount val="5"/>
                <c:pt idx="0">
                  <c:v>250000</c:v>
                </c:pt>
                <c:pt idx="1">
                  <c:v>500000</c:v>
                </c:pt>
                <c:pt idx="2">
                  <c:v>1000000</c:v>
                </c:pt>
                <c:pt idx="3">
                  <c:v>2000000</c:v>
                </c:pt>
                <c:pt idx="4">
                  <c:v>4000000</c:v>
                </c:pt>
              </c:numCache>
            </c:numRef>
          </c:xVal>
          <c:yVal>
            <c:numRef>
              <c:f>Sheet1!$AA$3:$AA$7</c:f>
              <c:numCache>
                <c:formatCode>0.00</c:formatCode>
                <c:ptCount val="5"/>
                <c:pt idx="0">
                  <c:v>58.453319103985649</c:v>
                </c:pt>
                <c:pt idx="1">
                  <c:v>41.332738321289419</c:v>
                </c:pt>
                <c:pt idx="2">
                  <c:v>29.226659551992825</c:v>
                </c:pt>
                <c:pt idx="3">
                  <c:v>20.66636916064471</c:v>
                </c:pt>
                <c:pt idx="4">
                  <c:v>14.613329775996412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B2-4AE4-8246-0A0EA49C1E3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24645759"/>
        <c:axId val="524647199"/>
      </c:scatterChart>
      <c:valAx>
        <c:axId val="52464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Chamber Pressure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47199"/>
        <c:crosses val="autoZero"/>
        <c:crossBetween val="midCat"/>
      </c:valAx>
      <c:valAx>
        <c:axId val="52464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Exit  Radius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4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Chamber Pressure vs. Chamber</a:t>
            </a:r>
            <a:r>
              <a:rPr lang="en-US" baseline="0"/>
              <a:t> Length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Sheet1!$AB$2</c:f>
              <c:strCache>
                <c:ptCount val="1"/>
                <c:pt idx="0">
                  <c:v>Lc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7237368472405523"/>
                  <c:y val="-0.409815720032364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Sheet1!$X$3:$X$7</c:f>
              <c:numCache>
                <c:formatCode>General</c:formatCode>
                <c:ptCount val="5"/>
                <c:pt idx="0">
                  <c:v>250000</c:v>
                </c:pt>
                <c:pt idx="1">
                  <c:v>500000</c:v>
                </c:pt>
                <c:pt idx="2">
                  <c:v>1000000</c:v>
                </c:pt>
                <c:pt idx="3">
                  <c:v>2000000</c:v>
                </c:pt>
                <c:pt idx="4">
                  <c:v>4000000</c:v>
                </c:pt>
              </c:numCache>
            </c:numRef>
          </c:xVal>
          <c:yVal>
            <c:numRef>
              <c:f>Sheet1!$AB$3:$AB$7</c:f>
              <c:numCache>
                <c:formatCode>0.00</c:formatCode>
                <c:ptCount val="5"/>
                <c:pt idx="0">
                  <c:v>205.00727458631118</c:v>
                </c:pt>
                <c:pt idx="1">
                  <c:v>196.21834734490736</c:v>
                </c:pt>
                <c:pt idx="2">
                  <c:v>190.00363729315558</c:v>
                </c:pt>
                <c:pt idx="3">
                  <c:v>185.60917367245366</c:v>
                </c:pt>
                <c:pt idx="4">
                  <c:v>182.50181864657779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2BF-48E6-882E-5417E64E341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24645759"/>
        <c:axId val="524647199"/>
      </c:scatterChart>
      <c:valAx>
        <c:axId val="52464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Chamber Pressure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47199"/>
        <c:crosses val="autoZero"/>
        <c:crossBetween val="midCat"/>
      </c:valAx>
      <c:valAx>
        <c:axId val="52464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Chamber Length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64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O/F Ratio</a:t>
            </a:r>
            <a:r>
              <a:rPr lang="en-US" baseline="0"/>
              <a:t> vs. Chamber Temperature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Sheet1!$AL$2</c:f>
              <c:strCache>
                <c:ptCount val="1"/>
                <c:pt idx="0">
                  <c:v>Tc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9101968503937007"/>
                  <c:y val="0.659145523476232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Sheet1!$AK$3:$AK$34</c:f>
              <c:numCache>
                <c:formatCode>General</c:formatCode>
                <c:ptCount val="32"/>
                <c:pt idx="0">
                  <c:v>0.8</c:v>
                </c:pt>
                <c:pt idx="1">
                  <c:v>1</c:v>
                </c:pt>
                <c:pt idx="2">
                  <c:v>1.2</c:v>
                </c:pt>
                <c:pt idx="3">
                  <c:v>1.4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  <c:pt idx="12">
                  <c:v>3.2</c:v>
                </c:pt>
                <c:pt idx="13">
                  <c:v>3.4</c:v>
                </c:pt>
                <c:pt idx="14">
                  <c:v>3.6</c:v>
                </c:pt>
                <c:pt idx="15">
                  <c:v>3.8</c:v>
                </c:pt>
                <c:pt idx="16">
                  <c:v>4</c:v>
                </c:pt>
                <c:pt idx="17">
                  <c:v>4.2</c:v>
                </c:pt>
                <c:pt idx="18">
                  <c:v>4.4000000000000004</c:v>
                </c:pt>
                <c:pt idx="19">
                  <c:v>4.5999999999999996</c:v>
                </c:pt>
                <c:pt idx="20">
                  <c:v>4.8</c:v>
                </c:pt>
                <c:pt idx="21">
                  <c:v>5</c:v>
                </c:pt>
                <c:pt idx="22">
                  <c:v>5.2</c:v>
                </c:pt>
                <c:pt idx="23">
                  <c:v>5.4</c:v>
                </c:pt>
                <c:pt idx="24">
                  <c:v>5.6</c:v>
                </c:pt>
                <c:pt idx="25">
                  <c:v>5.8</c:v>
                </c:pt>
                <c:pt idx="26">
                  <c:v>6</c:v>
                </c:pt>
              </c:numCache>
            </c:numRef>
          </c:xVal>
          <c:yVal>
            <c:numRef>
              <c:f>Sheet1!$AL$3:$AL$34</c:f>
              <c:numCache>
                <c:formatCode>0.00</c:formatCode>
                <c:ptCount val="32"/>
                <c:pt idx="0">
                  <c:v>1055.1301000000001</c:v>
                </c:pt>
                <c:pt idx="1">
                  <c:v>1094.9000000000001</c:v>
                </c:pt>
                <c:pt idx="2">
                  <c:v>1144.68</c:v>
                </c:pt>
                <c:pt idx="3">
                  <c:v>1241.0999999999999</c:v>
                </c:pt>
                <c:pt idx="4">
                  <c:v>1450.0134</c:v>
                </c:pt>
                <c:pt idx="5">
                  <c:v>1669.01</c:v>
                </c:pt>
                <c:pt idx="6">
                  <c:v>1867.27</c:v>
                </c:pt>
                <c:pt idx="7">
                  <c:v>2046.5555999999999</c:v>
                </c:pt>
                <c:pt idx="8">
                  <c:v>2208.6655000000001</c:v>
                </c:pt>
                <c:pt idx="9">
                  <c:v>2354.7793999999999</c:v>
                </c:pt>
                <c:pt idx="10">
                  <c:v>2485.5300000000002</c:v>
                </c:pt>
                <c:pt idx="11">
                  <c:v>2601</c:v>
                </c:pt>
                <c:pt idx="12">
                  <c:v>2701</c:v>
                </c:pt>
                <c:pt idx="13">
                  <c:v>2785.1619999999998</c:v>
                </c:pt>
                <c:pt idx="14">
                  <c:v>2852.6916000000001</c:v>
                </c:pt>
                <c:pt idx="15">
                  <c:v>2904.123</c:v>
                </c:pt>
                <c:pt idx="16">
                  <c:v>2941.0421999999999</c:v>
                </c:pt>
                <c:pt idx="17">
                  <c:v>2965.8465999999999</c:v>
                </c:pt>
                <c:pt idx="18">
                  <c:v>2981.1705000000002</c:v>
                </c:pt>
                <c:pt idx="19">
                  <c:v>2989.3328999999999</c:v>
                </c:pt>
                <c:pt idx="20">
                  <c:v>2992.1659</c:v>
                </c:pt>
                <c:pt idx="21">
                  <c:v>2991.0383999999999</c:v>
                </c:pt>
                <c:pt idx="22">
                  <c:v>2986.9513000000002</c:v>
                </c:pt>
                <c:pt idx="23">
                  <c:v>2980.634</c:v>
                </c:pt>
                <c:pt idx="24">
                  <c:v>2972.6217000000001</c:v>
                </c:pt>
                <c:pt idx="25">
                  <c:v>2963.3116</c:v>
                </c:pt>
                <c:pt idx="26">
                  <c:v>2953.0027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14-4D33-BBE5-7BE66A5B9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036368"/>
        <c:axId val="1642032048"/>
      </c:scatterChart>
      <c:valAx>
        <c:axId val="164203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O/F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032048"/>
        <c:crosses val="autoZero"/>
        <c:crossBetween val="midCat"/>
      </c:valAx>
      <c:valAx>
        <c:axId val="164203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Chamber Temperature</a:t>
                </a:r>
                <a:r>
                  <a:rPr lang="en-US" baseline="0"/>
                  <a:t> (K)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03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O/F Ratio</a:t>
            </a:r>
            <a:r>
              <a:rPr lang="en-US" baseline="0"/>
              <a:t> vs. Isp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Sheet1!$AM$2</c:f>
              <c:strCache>
                <c:ptCount val="1"/>
                <c:pt idx="0">
                  <c:v>Isp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5751552930883638"/>
                  <c:y val="0.656601778944298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Sheet1!$AK$3:$AK$34</c:f>
              <c:numCache>
                <c:formatCode>General</c:formatCode>
                <c:ptCount val="32"/>
                <c:pt idx="0">
                  <c:v>0.8</c:v>
                </c:pt>
                <c:pt idx="1">
                  <c:v>1</c:v>
                </c:pt>
                <c:pt idx="2">
                  <c:v>1.2</c:v>
                </c:pt>
                <c:pt idx="3">
                  <c:v>1.4</c:v>
                </c:pt>
                <c:pt idx="4">
                  <c:v>1.6</c:v>
                </c:pt>
                <c:pt idx="5">
                  <c:v>1.8</c:v>
                </c:pt>
                <c:pt idx="6">
                  <c:v>2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3</c:v>
                </c:pt>
                <c:pt idx="12">
                  <c:v>3.2</c:v>
                </c:pt>
                <c:pt idx="13">
                  <c:v>3.4</c:v>
                </c:pt>
                <c:pt idx="14">
                  <c:v>3.6</c:v>
                </c:pt>
                <c:pt idx="15">
                  <c:v>3.8</c:v>
                </c:pt>
                <c:pt idx="16">
                  <c:v>4</c:v>
                </c:pt>
                <c:pt idx="17">
                  <c:v>4.2</c:v>
                </c:pt>
                <c:pt idx="18">
                  <c:v>4.4000000000000004</c:v>
                </c:pt>
                <c:pt idx="19">
                  <c:v>4.5999999999999996</c:v>
                </c:pt>
                <c:pt idx="20">
                  <c:v>4.8</c:v>
                </c:pt>
                <c:pt idx="21">
                  <c:v>5</c:v>
                </c:pt>
                <c:pt idx="22">
                  <c:v>5.2</c:v>
                </c:pt>
                <c:pt idx="23">
                  <c:v>5.4</c:v>
                </c:pt>
                <c:pt idx="24">
                  <c:v>5.6</c:v>
                </c:pt>
                <c:pt idx="25">
                  <c:v>5.8</c:v>
                </c:pt>
                <c:pt idx="26">
                  <c:v>6</c:v>
                </c:pt>
              </c:numCache>
            </c:numRef>
          </c:xVal>
          <c:yVal>
            <c:numRef>
              <c:f>Sheet1!$AM$3:$AM$34</c:f>
              <c:numCache>
                <c:formatCode>0.00</c:formatCode>
                <c:ptCount val="32"/>
                <c:pt idx="0">
                  <c:v>135.44999999999999</c:v>
                </c:pt>
                <c:pt idx="1">
                  <c:v>139.94999999999999</c:v>
                </c:pt>
                <c:pt idx="2">
                  <c:v>143.82</c:v>
                </c:pt>
                <c:pt idx="3">
                  <c:v>148.75</c:v>
                </c:pt>
                <c:pt idx="4">
                  <c:v>156.38999999999999</c:v>
                </c:pt>
                <c:pt idx="5">
                  <c:v>165.19</c:v>
                </c:pt>
                <c:pt idx="6">
                  <c:v>172.67</c:v>
                </c:pt>
                <c:pt idx="7">
                  <c:v>178.32</c:v>
                </c:pt>
                <c:pt idx="8">
                  <c:v>182.93</c:v>
                </c:pt>
                <c:pt idx="9">
                  <c:v>186.78</c:v>
                </c:pt>
                <c:pt idx="10">
                  <c:v>190.02</c:v>
                </c:pt>
                <c:pt idx="11">
                  <c:v>192.762</c:v>
                </c:pt>
                <c:pt idx="12">
                  <c:v>195.02227999999999</c:v>
                </c:pt>
                <c:pt idx="13">
                  <c:v>196.828</c:v>
                </c:pt>
                <c:pt idx="14">
                  <c:v>198.22499999999999</c:v>
                </c:pt>
                <c:pt idx="15">
                  <c:v>199.21100000000001</c:v>
                </c:pt>
                <c:pt idx="16">
                  <c:v>199.76400000000001</c:v>
                </c:pt>
                <c:pt idx="17">
                  <c:v>199.78698</c:v>
                </c:pt>
                <c:pt idx="18">
                  <c:v>199.24784</c:v>
                </c:pt>
                <c:pt idx="19">
                  <c:v>198.08944</c:v>
                </c:pt>
                <c:pt idx="20">
                  <c:v>196.64653999999999</c:v>
                </c:pt>
                <c:pt idx="21">
                  <c:v>195.50820999999999</c:v>
                </c:pt>
                <c:pt idx="22">
                  <c:v>194.63879</c:v>
                </c:pt>
                <c:pt idx="23">
                  <c:v>193.88216</c:v>
                </c:pt>
                <c:pt idx="24">
                  <c:v>193.16381000000001</c:v>
                </c:pt>
                <c:pt idx="25">
                  <c:v>192.45599000000001</c:v>
                </c:pt>
                <c:pt idx="26">
                  <c:v>191.75039000000001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5F-4ADE-8811-2369AC47B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036368"/>
        <c:axId val="1642032048"/>
      </c:scatterChart>
      <c:valAx>
        <c:axId val="164203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O/F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032048"/>
        <c:crosses val="autoZero"/>
        <c:crossBetween val="midCat"/>
      </c:valAx>
      <c:valAx>
        <c:axId val="164203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Isp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03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709821</xdr:colOff>
      <xdr:row>0</xdr:row>
      <xdr:rowOff>189257</xdr:rowOff>
    </xdr:from>
    <xdr:to>
      <xdr:col>22</xdr:col>
      <xdr:colOff>9526</xdr:colOff>
      <xdr:row>14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337316-74CA-6C06-81FC-69D0E821D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14</xdr:row>
      <xdr:rowOff>38100</xdr:rowOff>
    </xdr:from>
    <xdr:to>
      <xdr:col>22</xdr:col>
      <xdr:colOff>9525</xdr:colOff>
      <xdr:row>27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3310AE-2136-F04C-B621-C70C41A1D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702252</xdr:colOff>
      <xdr:row>27</xdr:row>
      <xdr:rowOff>117764</xdr:rowOff>
    </xdr:from>
    <xdr:to>
      <xdr:col>22</xdr:col>
      <xdr:colOff>865</xdr:colOff>
      <xdr:row>40</xdr:row>
      <xdr:rowOff>184439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0B0B066-7F04-4E10-9B7D-D91A9F465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122465</xdr:colOff>
      <xdr:row>7</xdr:row>
      <xdr:rowOff>0</xdr:rowOff>
    </xdr:from>
    <xdr:to>
      <xdr:col>15</xdr:col>
      <xdr:colOff>23133</xdr:colOff>
      <xdr:row>20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A7A868-813F-430D-BC13-A898EA85E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104775</xdr:colOff>
      <xdr:row>20</xdr:row>
      <xdr:rowOff>28575</xdr:rowOff>
    </xdr:from>
    <xdr:to>
      <xdr:col>15</xdr:col>
      <xdr:colOff>8164</xdr:colOff>
      <xdr:row>33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8193DA4-6F24-40C1-A524-566285E55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11205</xdr:colOff>
      <xdr:row>1</xdr:row>
      <xdr:rowOff>0</xdr:rowOff>
    </xdr:from>
    <xdr:to>
      <xdr:col>35</xdr:col>
      <xdr:colOff>28087</xdr:colOff>
      <xdr:row>14</xdr:row>
      <xdr:rowOff>58393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244BCCE-EA28-41AD-8708-6F773230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9525</xdr:colOff>
      <xdr:row>14</xdr:row>
      <xdr:rowOff>47625</xdr:rowOff>
    </xdr:from>
    <xdr:to>
      <xdr:col>35</xdr:col>
      <xdr:colOff>26407</xdr:colOff>
      <xdr:row>27</xdr:row>
      <xdr:rowOff>106018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EF6C1BF-A9B0-40D9-891D-589EB46F1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9525</xdr:colOff>
      <xdr:row>27</xdr:row>
      <xdr:rowOff>95250</xdr:rowOff>
    </xdr:from>
    <xdr:to>
      <xdr:col>35</xdr:col>
      <xdr:colOff>26407</xdr:colOff>
      <xdr:row>40</xdr:row>
      <xdr:rowOff>153643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61D3B96-975D-48A0-A0EF-0A417A617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609599</xdr:colOff>
      <xdr:row>7</xdr:row>
      <xdr:rowOff>47624</xdr:rowOff>
    </xdr:from>
    <xdr:to>
      <xdr:col>27</xdr:col>
      <xdr:colOff>714374</xdr:colOff>
      <xdr:row>18</xdr:row>
      <xdr:rowOff>171449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801E260-0D9B-4802-BCBE-68B21FB4B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39</xdr:col>
      <xdr:colOff>22413</xdr:colOff>
      <xdr:row>0</xdr:row>
      <xdr:rowOff>174812</xdr:rowOff>
    </xdr:from>
    <xdr:to>
      <xdr:col>46</xdr:col>
      <xdr:colOff>358589</xdr:colOff>
      <xdr:row>15</xdr:row>
      <xdr:rowOff>60512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297DE1-A41F-4DD9-1E6D-45BC3B60E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33619</xdr:colOff>
      <xdr:row>15</xdr:row>
      <xdr:rowOff>56029</xdr:rowOff>
    </xdr:from>
    <xdr:to>
      <xdr:col>46</xdr:col>
      <xdr:colOff>369795</xdr:colOff>
      <xdr:row>29</xdr:row>
      <xdr:rowOff>132229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DEF038-968D-4BCF-8387-3D6E6AFE5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36</xdr:col>
      <xdr:colOff>11206</xdr:colOff>
      <xdr:row>30</xdr:row>
      <xdr:rowOff>89647</xdr:rowOff>
    </xdr:from>
    <xdr:to>
      <xdr:col>42</xdr:col>
      <xdr:colOff>100853</xdr:colOff>
      <xdr:row>50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922881B-ACEE-549F-F70C-E5BF450F9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93382" y="5804647"/>
          <a:ext cx="3720353" cy="3720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2"/>
  <sheetViews>
    <sheetView tabSelected="1" topLeftCell="A13" zoomScale="85" zoomScaleNormal="85" workbookViewId="0">
      <selection activeCell="K42" sqref="K42"/>
    </sheetView>
  </sheetViews>
  <sheetFormatPr defaultRowHeight="15" x14ac:dyDescent="0.25"/>
  <cols>
    <col min="1" max="1" width="31.85546875" customWidth="1"/>
    <col min="2" max="2" width="9.140625" customWidth="1"/>
    <col min="4" max="4" width="31.85546875" customWidth="1"/>
    <col min="5" max="5" width="12" bestFit="1" customWidth="1"/>
    <col min="7" max="7" width="10.5703125" bestFit="1" customWidth="1"/>
    <col min="15" max="15" width="10.7109375" customWidth="1"/>
    <col min="25" max="27" width="9.7109375" bestFit="1" customWidth="1"/>
    <col min="28" max="28" width="10.7109375" bestFit="1" customWidth="1"/>
  </cols>
  <sheetData>
    <row r="1" spans="1:40" x14ac:dyDescent="0.25">
      <c r="A1" s="1" t="s">
        <v>0</v>
      </c>
      <c r="D1" s="2" t="s">
        <v>6</v>
      </c>
    </row>
    <row r="2" spans="1:40" x14ac:dyDescent="0.25">
      <c r="A2" s="7" t="s">
        <v>48</v>
      </c>
      <c r="B2">
        <v>1000</v>
      </c>
      <c r="C2" t="s">
        <v>15</v>
      </c>
      <c r="D2" s="8" t="s">
        <v>11</v>
      </c>
      <c r="E2">
        <f>B12*B13</f>
        <v>1509.2</v>
      </c>
      <c r="F2" t="s">
        <v>18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X2" t="s">
        <v>56</v>
      </c>
      <c r="Y2" t="s">
        <v>51</v>
      </c>
      <c r="Z2" t="s">
        <v>52</v>
      </c>
      <c r="AA2" t="s">
        <v>53</v>
      </c>
      <c r="AB2" t="s">
        <v>54</v>
      </c>
      <c r="AK2" t="s">
        <v>86</v>
      </c>
      <c r="AL2" t="s">
        <v>87</v>
      </c>
      <c r="AM2" t="s">
        <v>7</v>
      </c>
    </row>
    <row r="3" spans="1:40" x14ac:dyDescent="0.25">
      <c r="A3" s="7" t="s">
        <v>13</v>
      </c>
      <c r="B3">
        <v>1500000</v>
      </c>
      <c r="C3" t="s">
        <v>16</v>
      </c>
      <c r="D3" s="8" t="s">
        <v>46</v>
      </c>
      <c r="E3" s="3">
        <f>B2/E2</f>
        <v>0.66260270341902994</v>
      </c>
      <c r="F3" t="s">
        <v>22</v>
      </c>
      <c r="G3">
        <f>E3*1000</f>
        <v>662.60270341902992</v>
      </c>
      <c r="H3" t="s">
        <v>47</v>
      </c>
      <c r="J3">
        <v>250</v>
      </c>
      <c r="K3" s="4">
        <v>16.874019759856605</v>
      </c>
      <c r="L3" s="4">
        <v>8.4370098799283024</v>
      </c>
      <c r="M3" s="4">
        <v>14.613329775996412</v>
      </c>
      <c r="N3" s="4">
        <v>182.50181864657779</v>
      </c>
      <c r="O3" s="4">
        <v>165.65067585475748</v>
      </c>
      <c r="X3">
        <v>250000</v>
      </c>
      <c r="Y3" s="4">
        <v>67.496079039426419</v>
      </c>
      <c r="Z3" s="4">
        <v>33.74803951971321</v>
      </c>
      <c r="AA3" s="4">
        <v>58.453319103985649</v>
      </c>
      <c r="AB3" s="4">
        <v>205.00727458631118</v>
      </c>
      <c r="AK3">
        <v>0.8</v>
      </c>
      <c r="AL3" s="4">
        <v>1055.1301000000001</v>
      </c>
      <c r="AM3" s="4">
        <v>135.44999999999999</v>
      </c>
      <c r="AN3" s="4"/>
    </row>
    <row r="4" spans="1:40" x14ac:dyDescent="0.25">
      <c r="A4" s="7" t="s">
        <v>1</v>
      </c>
      <c r="B4">
        <v>6</v>
      </c>
      <c r="D4" s="5" t="s">
        <v>38</v>
      </c>
      <c r="J4">
        <v>500</v>
      </c>
      <c r="K4" s="4">
        <v>23.863467596140808</v>
      </c>
      <c r="L4" s="4">
        <v>11.931733798070404</v>
      </c>
      <c r="M4" s="4">
        <v>20.66636916064471</v>
      </c>
      <c r="N4" s="4">
        <v>185.60917367245366</v>
      </c>
      <c r="O4" s="4">
        <v>331.30135170951496</v>
      </c>
      <c r="X4">
        <v>500000</v>
      </c>
      <c r="Y4" s="4">
        <v>47.726935192281616</v>
      </c>
      <c r="Z4" s="4">
        <v>23.863467596140808</v>
      </c>
      <c r="AA4" s="4">
        <v>41.332738321289419</v>
      </c>
      <c r="AB4" s="4">
        <v>196.21834734490736</v>
      </c>
      <c r="AK4">
        <v>1</v>
      </c>
      <c r="AL4" s="4">
        <v>1094.9000000000001</v>
      </c>
      <c r="AM4" s="4">
        <v>139.94999999999999</v>
      </c>
      <c r="AN4" s="4"/>
    </row>
    <row r="5" spans="1:40" x14ac:dyDescent="0.25">
      <c r="A5" s="7" t="s">
        <v>2</v>
      </c>
      <c r="B5">
        <v>3</v>
      </c>
      <c r="D5" s="8" t="s">
        <v>24</v>
      </c>
      <c r="E5" s="3">
        <f>(E3*B8)/B3</f>
        <v>5.9634243307712693E-4</v>
      </c>
      <c r="F5" t="s">
        <v>23</v>
      </c>
      <c r="G5" s="4">
        <f>E5*1000000</f>
        <v>596.34243307712688</v>
      </c>
      <c r="H5" t="s">
        <v>35</v>
      </c>
      <c r="J5">
        <v>1000</v>
      </c>
      <c r="K5" s="4">
        <v>33.74803951971321</v>
      </c>
      <c r="L5" s="4">
        <v>16.874019759856605</v>
      </c>
      <c r="M5" s="4">
        <v>29.226659551992825</v>
      </c>
      <c r="N5" s="4">
        <v>190.00363729315558</v>
      </c>
      <c r="O5" s="4">
        <v>662.60270341902992</v>
      </c>
      <c r="X5">
        <v>1000000</v>
      </c>
      <c r="Y5" s="4">
        <v>33.74803951971321</v>
      </c>
      <c r="Z5" s="4">
        <v>16.874019759856605</v>
      </c>
      <c r="AA5" s="4">
        <v>29.226659551992825</v>
      </c>
      <c r="AB5" s="4">
        <v>190.00363729315558</v>
      </c>
      <c r="AK5">
        <v>1.2</v>
      </c>
      <c r="AL5" s="4">
        <v>1144.68</v>
      </c>
      <c r="AM5" s="4">
        <v>143.82</v>
      </c>
      <c r="AN5" s="4"/>
    </row>
    <row r="6" spans="1:40" x14ac:dyDescent="0.25">
      <c r="A6" s="6" t="s">
        <v>14</v>
      </c>
      <c r="C6" t="s">
        <v>16</v>
      </c>
      <c r="D6" s="8" t="s">
        <v>31</v>
      </c>
      <c r="E6" s="3">
        <f>E5*B4</f>
        <v>3.5780545984627618E-3</v>
      </c>
      <c r="F6" t="s">
        <v>23</v>
      </c>
      <c r="G6" s="4">
        <f>E6*1000000</f>
        <v>3578.054598462762</v>
      </c>
      <c r="H6" t="s">
        <v>35</v>
      </c>
      <c r="J6">
        <v>2000</v>
      </c>
      <c r="K6" s="4">
        <v>47.726935192281616</v>
      </c>
      <c r="L6" s="4">
        <v>23.863467596140808</v>
      </c>
      <c r="M6" s="4">
        <v>41.332738321289419</v>
      </c>
      <c r="N6" s="4">
        <v>196.21834734490736</v>
      </c>
      <c r="O6" s="4">
        <v>1325.2054068380598</v>
      </c>
      <c r="X6">
        <v>2000000</v>
      </c>
      <c r="Y6" s="4">
        <v>23.863467596140808</v>
      </c>
      <c r="Z6" s="4">
        <v>11.931733798070404</v>
      </c>
      <c r="AA6" s="4">
        <v>20.66636916064471</v>
      </c>
      <c r="AB6" s="4">
        <v>185.60917367245366</v>
      </c>
      <c r="AK6">
        <v>1.4</v>
      </c>
      <c r="AL6" s="4">
        <v>1241.0999999999999</v>
      </c>
      <c r="AM6" s="4">
        <v>148.75</v>
      </c>
      <c r="AN6" s="4"/>
    </row>
    <row r="7" spans="1:40" x14ac:dyDescent="0.25">
      <c r="A7" s="7" t="s">
        <v>3</v>
      </c>
      <c r="B7">
        <v>0.7</v>
      </c>
      <c r="C7" t="s">
        <v>17</v>
      </c>
      <c r="D7" s="8" t="s">
        <v>44</v>
      </c>
      <c r="E7" s="3">
        <f>E5*B5</f>
        <v>1.7890272992313809E-3</v>
      </c>
      <c r="F7" t="s">
        <v>28</v>
      </c>
      <c r="G7" s="4">
        <f>E7*1000000</f>
        <v>1789.027299231381</v>
      </c>
      <c r="H7" t="s">
        <v>37</v>
      </c>
      <c r="J7">
        <v>4000</v>
      </c>
      <c r="K7" s="4">
        <v>67.496079039426419</v>
      </c>
      <c r="L7" s="4">
        <v>33.74803951971321</v>
      </c>
      <c r="M7" s="4">
        <v>58.453319103985649</v>
      </c>
      <c r="N7" s="4">
        <v>205.00727458631118</v>
      </c>
      <c r="O7" s="4">
        <v>2650.4108136761197</v>
      </c>
      <c r="X7">
        <v>4000000</v>
      </c>
      <c r="Y7" s="4">
        <v>16.874019759856605</v>
      </c>
      <c r="Z7" s="4">
        <v>8.4370098799283024</v>
      </c>
      <c r="AA7" s="4">
        <v>14.613329775996412</v>
      </c>
      <c r="AB7" s="4">
        <v>182.50181864657779</v>
      </c>
      <c r="AK7">
        <v>1.6</v>
      </c>
      <c r="AL7" s="4">
        <v>1450.0134</v>
      </c>
      <c r="AM7" s="4">
        <v>156.38999999999999</v>
      </c>
      <c r="AN7" s="4"/>
    </row>
    <row r="8" spans="1:40" x14ac:dyDescent="0.25">
      <c r="A8" s="6" t="s">
        <v>4</v>
      </c>
      <c r="B8">
        <v>1350</v>
      </c>
      <c r="C8" t="s">
        <v>18</v>
      </c>
      <c r="D8" s="5" t="s">
        <v>39</v>
      </c>
      <c r="N8" s="4"/>
      <c r="AK8">
        <v>1.8</v>
      </c>
      <c r="AL8" s="4">
        <v>1669.01</v>
      </c>
      <c r="AM8" s="4">
        <v>165.19</v>
      </c>
      <c r="AN8" s="4"/>
    </row>
    <row r="9" spans="1:40" x14ac:dyDescent="0.25">
      <c r="A9" s="6" t="s">
        <v>5</v>
      </c>
      <c r="B9">
        <v>1.3</v>
      </c>
      <c r="D9" s="8" t="s">
        <v>29</v>
      </c>
      <c r="E9" s="3">
        <f>SQRT(E5/3.1415926)</f>
        <v>1.3777579440429807E-2</v>
      </c>
      <c r="F9" t="s">
        <v>17</v>
      </c>
      <c r="G9" s="4">
        <f>E9*1000</f>
        <v>13.777579440429808</v>
      </c>
      <c r="H9" t="s">
        <v>36</v>
      </c>
      <c r="AK9">
        <v>2</v>
      </c>
      <c r="AL9" s="4">
        <v>1867.27</v>
      </c>
      <c r="AM9" s="4">
        <v>172.67</v>
      </c>
      <c r="AN9" s="4"/>
    </row>
    <row r="10" spans="1:40" x14ac:dyDescent="0.25">
      <c r="A10" s="6" t="s">
        <v>12</v>
      </c>
      <c r="B10">
        <v>1457</v>
      </c>
      <c r="C10" t="s">
        <v>19</v>
      </c>
      <c r="D10" s="8" t="s">
        <v>33</v>
      </c>
      <c r="E10" s="3">
        <f>SQRT(E6/3.1415926)</f>
        <v>3.374803951971321E-2</v>
      </c>
      <c r="F10" t="s">
        <v>17</v>
      </c>
      <c r="G10" s="4">
        <f>E10*1000</f>
        <v>33.74803951971321</v>
      </c>
      <c r="H10" t="s">
        <v>36</v>
      </c>
      <c r="AK10">
        <v>2.2000000000000002</v>
      </c>
      <c r="AL10" s="4">
        <v>2046.5555999999999</v>
      </c>
      <c r="AM10" s="4">
        <v>178.32</v>
      </c>
      <c r="AN10" s="4"/>
    </row>
    <row r="11" spans="1:40" x14ac:dyDescent="0.25">
      <c r="A11" s="6" t="s">
        <v>49</v>
      </c>
      <c r="B11">
        <v>3.8</v>
      </c>
      <c r="D11" s="8" t="s">
        <v>45</v>
      </c>
      <c r="E11" s="3">
        <f>SQRT(E7/3.1415926)</f>
        <v>2.386346759614081E-2</v>
      </c>
      <c r="F11" t="s">
        <v>17</v>
      </c>
      <c r="G11" s="4">
        <f>E11*1000</f>
        <v>23.863467596140811</v>
      </c>
      <c r="H11" t="s">
        <v>36</v>
      </c>
      <c r="AK11">
        <v>2.4</v>
      </c>
      <c r="AL11" s="4">
        <v>2208.6655000000001</v>
      </c>
      <c r="AM11" s="4">
        <v>182.93</v>
      </c>
      <c r="AN11" s="4"/>
    </row>
    <row r="12" spans="1:40" x14ac:dyDescent="0.25">
      <c r="A12" s="6" t="s">
        <v>7</v>
      </c>
      <c r="B12">
        <v>154</v>
      </c>
      <c r="C12" t="s">
        <v>20</v>
      </c>
      <c r="D12" s="5" t="s">
        <v>40</v>
      </c>
      <c r="AK12">
        <v>2.6</v>
      </c>
      <c r="AL12" s="4">
        <v>2354.7793999999999</v>
      </c>
      <c r="AM12" s="4">
        <v>186.78</v>
      </c>
      <c r="AN12" s="4"/>
    </row>
    <row r="13" spans="1:40" x14ac:dyDescent="0.25">
      <c r="A13" s="6" t="s">
        <v>8</v>
      </c>
      <c r="B13">
        <v>9.8000000000000007</v>
      </c>
      <c r="C13" t="s">
        <v>21</v>
      </c>
      <c r="D13" s="8" t="s">
        <v>41</v>
      </c>
      <c r="E13" s="3">
        <f>E18/E6</f>
        <v>9.5600925254417685E-2</v>
      </c>
      <c r="F13" t="s">
        <v>17</v>
      </c>
      <c r="G13" s="4">
        <f>E13*1000</f>
        <v>95.600925254417689</v>
      </c>
      <c r="H13" t="s">
        <v>36</v>
      </c>
      <c r="AK13">
        <v>2.8</v>
      </c>
      <c r="AL13" s="4">
        <v>2485.5300000000002</v>
      </c>
      <c r="AM13" s="4">
        <v>190.02</v>
      </c>
      <c r="AN13" s="4"/>
    </row>
    <row r="14" spans="1:40" x14ac:dyDescent="0.25">
      <c r="A14" s="6" t="s">
        <v>9</v>
      </c>
      <c r="B14">
        <f>RADIANS(30)</f>
        <v>0.52359877559829882</v>
      </c>
      <c r="C14" t="s">
        <v>30</v>
      </c>
      <c r="D14" s="8" t="s">
        <v>26</v>
      </c>
      <c r="E14" s="3">
        <f>((E9*(SQRT(B4)-1))+((1.5*E9)*(_xlfn.SEC(B14)-1)))/TAN(B14)</f>
        <v>4.0127388434923049E-2</v>
      </c>
      <c r="F14" t="s">
        <v>17</v>
      </c>
      <c r="G14" s="4">
        <f>E14*1000</f>
        <v>40.127388434923049</v>
      </c>
      <c r="H14" t="s">
        <v>36</v>
      </c>
      <c r="AK14">
        <v>3</v>
      </c>
      <c r="AL14" s="4">
        <v>2601</v>
      </c>
      <c r="AM14" s="4">
        <v>192.762</v>
      </c>
      <c r="AN14" s="4"/>
    </row>
    <row r="15" spans="1:40" x14ac:dyDescent="0.25">
      <c r="A15" s="6" t="s">
        <v>10</v>
      </c>
      <c r="B15">
        <f>RADIANS(15)</f>
        <v>0.26179938779914941</v>
      </c>
      <c r="C15" t="s">
        <v>30</v>
      </c>
      <c r="D15" s="8" t="s">
        <v>42</v>
      </c>
      <c r="E15" s="3">
        <f>E13+E14</f>
        <v>0.13572831368934074</v>
      </c>
      <c r="F15" t="s">
        <v>17</v>
      </c>
      <c r="G15" s="4">
        <f>E15*1000</f>
        <v>135.72831368934075</v>
      </c>
      <c r="H15" t="s">
        <v>36</v>
      </c>
      <c r="AK15">
        <v>3.2</v>
      </c>
      <c r="AL15" s="4">
        <v>2701</v>
      </c>
      <c r="AM15" s="4">
        <v>195.02227999999999</v>
      </c>
      <c r="AN15" s="4"/>
    </row>
    <row r="16" spans="1:40" x14ac:dyDescent="0.25">
      <c r="D16" s="8" t="s">
        <v>27</v>
      </c>
      <c r="E16" s="3">
        <f>((E9*(SQRT(B4)-1))+((1.5*E9)*(_xlfn.SEC(B15)-1)))/TAN(B15)</f>
        <v>7.7251550782473644E-2</v>
      </c>
      <c r="F16" t="s">
        <v>17</v>
      </c>
      <c r="G16" s="4">
        <f>E16*1000</f>
        <v>77.251550782473643</v>
      </c>
      <c r="H16" t="s">
        <v>36</v>
      </c>
      <c r="AK16">
        <v>3.4</v>
      </c>
      <c r="AL16" s="4">
        <v>2785.1619999999998</v>
      </c>
      <c r="AM16" s="4">
        <v>196.828</v>
      </c>
    </row>
    <row r="17" spans="1:39" x14ac:dyDescent="0.25">
      <c r="D17" s="5" t="s">
        <v>43</v>
      </c>
      <c r="AK17">
        <v>3.6</v>
      </c>
      <c r="AL17" s="4">
        <v>2852.6916000000001</v>
      </c>
      <c r="AM17" s="4">
        <v>198.22499999999999</v>
      </c>
    </row>
    <row r="18" spans="1:39" x14ac:dyDescent="0.25">
      <c r="D18" s="8" t="s">
        <v>34</v>
      </c>
      <c r="E18" s="3">
        <f>E20-E19</f>
        <v>3.4206533022386395E-4</v>
      </c>
      <c r="F18" t="s">
        <v>28</v>
      </c>
      <c r="G18" s="4">
        <f>E18*1000000000</f>
        <v>342065.33022386394</v>
      </c>
      <c r="H18" t="s">
        <v>37</v>
      </c>
      <c r="AK18">
        <v>3.8</v>
      </c>
      <c r="AL18" s="4">
        <v>2904.123</v>
      </c>
      <c r="AM18" s="4">
        <v>199.21100000000001</v>
      </c>
    </row>
    <row r="19" spans="1:39" x14ac:dyDescent="0.25">
      <c r="D19" s="8" t="s">
        <v>32</v>
      </c>
      <c r="E19" s="3">
        <f>(1/3)*3.1415926*((E10^2)+(E10*E9)+(E9^2))*E14</f>
        <v>7.5374372930124892E-5</v>
      </c>
      <c r="F19" t="s">
        <v>28</v>
      </c>
      <c r="G19" s="4">
        <f>E19*1000000000</f>
        <v>75374.372930124897</v>
      </c>
      <c r="H19" t="s">
        <v>37</v>
      </c>
      <c r="AK19">
        <v>4</v>
      </c>
      <c r="AL19" s="4">
        <v>2941.0421999999999</v>
      </c>
      <c r="AM19" s="4">
        <v>199.76400000000001</v>
      </c>
    </row>
    <row r="20" spans="1:39" x14ac:dyDescent="0.25">
      <c r="D20" s="8" t="s">
        <v>25</v>
      </c>
      <c r="E20" s="3">
        <f>B7*E5</f>
        <v>4.1743970315398884E-4</v>
      </c>
      <c r="F20" t="s">
        <v>28</v>
      </c>
      <c r="G20" s="4">
        <f>E20*1000000000</f>
        <v>417439.70315398881</v>
      </c>
      <c r="H20" t="s">
        <v>37</v>
      </c>
      <c r="AK20">
        <v>4.2</v>
      </c>
      <c r="AL20" s="4">
        <v>2965.8465999999999</v>
      </c>
      <c r="AM20" s="4">
        <v>199.78698</v>
      </c>
    </row>
    <row r="21" spans="1:39" x14ac:dyDescent="0.25">
      <c r="AK21">
        <v>4.4000000000000004</v>
      </c>
      <c r="AL21" s="4">
        <v>2981.1705000000002</v>
      </c>
      <c r="AM21" s="4">
        <v>199.24784</v>
      </c>
    </row>
    <row r="22" spans="1:39" x14ac:dyDescent="0.25">
      <c r="AK22">
        <v>4.5999999999999996</v>
      </c>
      <c r="AL22" s="4">
        <v>2989.3328999999999</v>
      </c>
      <c r="AM22" s="4">
        <v>198.08944</v>
      </c>
    </row>
    <row r="23" spans="1:39" x14ac:dyDescent="0.25">
      <c r="A23" s="2"/>
      <c r="D23" s="2"/>
      <c r="AK23">
        <v>4.8</v>
      </c>
      <c r="AL23" s="4">
        <v>2992.1659</v>
      </c>
      <c r="AM23" s="4">
        <v>196.64653999999999</v>
      </c>
    </row>
    <row r="24" spans="1:39" x14ac:dyDescent="0.25">
      <c r="A24" s="9" t="s">
        <v>57</v>
      </c>
      <c r="AK24">
        <v>5</v>
      </c>
      <c r="AL24" s="4">
        <v>2991.0383999999999</v>
      </c>
      <c r="AM24" s="4">
        <v>195.50820999999999</v>
      </c>
    </row>
    <row r="25" spans="1:39" x14ac:dyDescent="0.25">
      <c r="A25" s="2" t="s">
        <v>0</v>
      </c>
      <c r="D25" s="2" t="s">
        <v>6</v>
      </c>
      <c r="AK25">
        <v>5.2</v>
      </c>
      <c r="AL25" s="4">
        <v>2986.9513000000002</v>
      </c>
      <c r="AM25" s="4">
        <v>194.63879</v>
      </c>
    </row>
    <row r="26" spans="1:39" x14ac:dyDescent="0.25">
      <c r="A26" s="5" t="s">
        <v>63</v>
      </c>
      <c r="D26" s="5" t="s">
        <v>63</v>
      </c>
      <c r="AK26">
        <v>5.4</v>
      </c>
      <c r="AL26" s="4">
        <v>2980.634</v>
      </c>
      <c r="AM26" s="4">
        <v>193.88216</v>
      </c>
    </row>
    <row r="27" spans="1:39" x14ac:dyDescent="0.25">
      <c r="A27" s="7" t="s">
        <v>104</v>
      </c>
      <c r="B27">
        <v>0.13386000000000001</v>
      </c>
      <c r="C27" t="s">
        <v>22</v>
      </c>
      <c r="D27" s="8" t="s">
        <v>62</v>
      </c>
      <c r="E27" s="3">
        <f>B27/(B32*(SQRT(2*B31*B29)))</f>
        <v>3.553602157144167E-6</v>
      </c>
      <c r="F27" t="s">
        <v>23</v>
      </c>
      <c r="AK27">
        <v>5.6</v>
      </c>
      <c r="AL27" s="4">
        <v>2972.6217000000001</v>
      </c>
      <c r="AM27" s="4">
        <v>193.16381000000001</v>
      </c>
    </row>
    <row r="28" spans="1:39" x14ac:dyDescent="0.25">
      <c r="A28" s="7" t="s">
        <v>100</v>
      </c>
      <c r="B28" s="3">
        <v>5000000</v>
      </c>
      <c r="C28" t="s">
        <v>16</v>
      </c>
      <c r="D28" s="8" t="s">
        <v>60</v>
      </c>
      <c r="E28">
        <f>E27/B33</f>
        <v>1.7768010785720835E-6</v>
      </c>
      <c r="F28" t="s">
        <v>23</v>
      </c>
      <c r="AK28">
        <v>5.8</v>
      </c>
      <c r="AL28" s="4">
        <v>2963.3116</v>
      </c>
      <c r="AM28" s="4">
        <v>192.45599000000001</v>
      </c>
    </row>
    <row r="29" spans="1:39" x14ac:dyDescent="0.25">
      <c r="A29" s="7" t="s">
        <v>101</v>
      </c>
      <c r="B29" s="3">
        <v>2500000</v>
      </c>
      <c r="C29" t="s">
        <v>16</v>
      </c>
      <c r="D29" s="8" t="s">
        <v>61</v>
      </c>
      <c r="E29">
        <f>2*SQRT(E28/3.1415296)</f>
        <v>1.5041073109390286E-3</v>
      </c>
      <c r="F29" t="s">
        <v>17</v>
      </c>
      <c r="G29">
        <f>E29*1000</f>
        <v>1.5041073109390286</v>
      </c>
      <c r="H29" t="s">
        <v>36</v>
      </c>
      <c r="AK29">
        <v>6</v>
      </c>
      <c r="AL29" s="4">
        <v>2953.0027</v>
      </c>
      <c r="AM29" s="4">
        <v>191.75039000000001</v>
      </c>
    </row>
    <row r="30" spans="1:39" x14ac:dyDescent="0.25">
      <c r="A30" s="7" t="s">
        <v>102</v>
      </c>
      <c r="B30">
        <v>298</v>
      </c>
      <c r="C30" t="s">
        <v>19</v>
      </c>
      <c r="D30" s="8" t="s">
        <v>105</v>
      </c>
      <c r="E30" s="4">
        <f>B32*SQRT((2*B29)/B31)</f>
        <v>47.784878849988793</v>
      </c>
      <c r="F30" t="s">
        <v>18</v>
      </c>
    </row>
    <row r="31" spans="1:39" x14ac:dyDescent="0.25">
      <c r="A31" s="7" t="s">
        <v>103</v>
      </c>
      <c r="B31" s="13">
        <v>788.3</v>
      </c>
      <c r="C31" t="s">
        <v>65</v>
      </c>
      <c r="D31" s="5"/>
    </row>
    <row r="32" spans="1:39" x14ac:dyDescent="0.25">
      <c r="A32" s="7" t="s">
        <v>58</v>
      </c>
      <c r="B32">
        <v>0.6</v>
      </c>
    </row>
    <row r="33" spans="1:8" x14ac:dyDescent="0.25">
      <c r="A33" s="11" t="s">
        <v>59</v>
      </c>
      <c r="B33">
        <v>2</v>
      </c>
    </row>
    <row r="34" spans="1:8" x14ac:dyDescent="0.25">
      <c r="A34" s="5" t="s">
        <v>64</v>
      </c>
      <c r="D34" s="5" t="s">
        <v>64</v>
      </c>
    </row>
    <row r="35" spans="1:8" x14ac:dyDescent="0.25">
      <c r="A35" s="12" t="s">
        <v>104</v>
      </c>
      <c r="B35">
        <v>0.40159</v>
      </c>
      <c r="C35" t="s">
        <v>22</v>
      </c>
      <c r="D35" s="8" t="s">
        <v>62</v>
      </c>
      <c r="E35" s="3">
        <f>B35/(B40*(SQRT(2*B39*B37)))</f>
        <v>7.044470780007882E-6</v>
      </c>
      <c r="F35" t="s">
        <v>23</v>
      </c>
    </row>
    <row r="36" spans="1:8" x14ac:dyDescent="0.25">
      <c r="A36" s="7" t="s">
        <v>100</v>
      </c>
      <c r="B36" s="3">
        <v>8000000</v>
      </c>
      <c r="C36" t="s">
        <v>16</v>
      </c>
      <c r="D36" s="8" t="s">
        <v>60</v>
      </c>
      <c r="E36">
        <f>E35/B41</f>
        <v>7.044470780007882E-6</v>
      </c>
      <c r="F36" t="s">
        <v>23</v>
      </c>
    </row>
    <row r="37" spans="1:8" x14ac:dyDescent="0.25">
      <c r="A37" s="7" t="s">
        <v>101</v>
      </c>
      <c r="B37" s="3">
        <v>6000000</v>
      </c>
      <c r="C37" t="s">
        <v>16</v>
      </c>
      <c r="D37" s="8" t="s">
        <v>61</v>
      </c>
      <c r="E37">
        <f>2*SQRT(E36/3.1415296)</f>
        <v>2.9949088118819108E-3</v>
      </c>
      <c r="F37" t="s">
        <v>17</v>
      </c>
      <c r="G37">
        <f>E37*1000</f>
        <v>2.9949088118819107</v>
      </c>
      <c r="H37" t="s">
        <v>36</v>
      </c>
    </row>
    <row r="38" spans="1:8" x14ac:dyDescent="0.25">
      <c r="A38" s="7" t="s">
        <v>102</v>
      </c>
      <c r="B38">
        <v>303</v>
      </c>
      <c r="C38" t="s">
        <v>19</v>
      </c>
      <c r="D38" s="8" t="s">
        <v>105</v>
      </c>
      <c r="E38" s="4">
        <f>B40*SQRT((2*B37)/B39)</f>
        <v>75.779062650051159</v>
      </c>
    </row>
    <row r="39" spans="1:8" x14ac:dyDescent="0.25">
      <c r="A39" s="7" t="s">
        <v>103</v>
      </c>
      <c r="B39" s="4">
        <v>752.29</v>
      </c>
      <c r="C39" t="s">
        <v>65</v>
      </c>
      <c r="D39" s="5"/>
    </row>
    <row r="40" spans="1:8" x14ac:dyDescent="0.25">
      <c r="A40" s="7" t="s">
        <v>58</v>
      </c>
      <c r="B40">
        <v>0.6</v>
      </c>
    </row>
    <row r="41" spans="1:8" x14ac:dyDescent="0.25">
      <c r="A41" s="11" t="s">
        <v>59</v>
      </c>
      <c r="B41">
        <v>1</v>
      </c>
      <c r="D41" s="8" t="s">
        <v>106</v>
      </c>
      <c r="E41">
        <f>(B31*(E30^2))/(B39*(E38^2))</f>
        <v>0.4166666666666668</v>
      </c>
    </row>
    <row r="43" spans="1:8" x14ac:dyDescent="0.25">
      <c r="A43" s="9" t="s">
        <v>99</v>
      </c>
    </row>
    <row r="44" spans="1:8" x14ac:dyDescent="0.25">
      <c r="A44" s="9" t="s">
        <v>66</v>
      </c>
    </row>
    <row r="45" spans="1:8" x14ac:dyDescent="0.25">
      <c r="A45" s="7" t="s">
        <v>67</v>
      </c>
      <c r="B45" s="3">
        <v>2139</v>
      </c>
      <c r="C45" t="s">
        <v>76</v>
      </c>
      <c r="D45" s="8" t="s">
        <v>75</v>
      </c>
      <c r="E45" s="3">
        <f>(0.026/(B46)^0.2)*((B45*(B47)^0.2)/(B48)^0.6)*((B49/B50)^0.8)*SQRT(B51/(B52*B53))</f>
        <v>291961.34366319922</v>
      </c>
      <c r="F45" t="s">
        <v>79</v>
      </c>
      <c r="G45">
        <f>E45*0.000001</f>
        <v>0.2919613436631992</v>
      </c>
      <c r="H45" t="s">
        <v>84</v>
      </c>
    </row>
    <row r="46" spans="1:8" x14ac:dyDescent="0.25">
      <c r="A46" s="7" t="s">
        <v>88</v>
      </c>
      <c r="B46" s="3">
        <v>6.2619999999999995E-2</v>
      </c>
      <c r="C46" t="s">
        <v>17</v>
      </c>
      <c r="D46" s="8" t="s">
        <v>85</v>
      </c>
      <c r="E46" s="3">
        <f xml:space="preserve"> (0.026 / (B46 ^ 0.2)) * ((B45 * B47 ^ 0.2) / (B48 ^ 0.6)) * ((B49 / B50) ^ 0.8) * SQRT(B51 / (B52 * B53)) * (1 + 0.5 * (B51 - 1) * B57 ^ 2) ^ -0.68</f>
        <v>272218.97879753122</v>
      </c>
      <c r="F46" t="s">
        <v>79</v>
      </c>
      <c r="G46">
        <f>E46*0.000001</f>
        <v>0.27221897879753121</v>
      </c>
      <c r="H46" t="s">
        <v>84</v>
      </c>
    </row>
    <row r="47" spans="1:8" x14ac:dyDescent="0.25">
      <c r="A47" s="7" t="s">
        <v>68</v>
      </c>
      <c r="B47" s="3">
        <v>8.4099999999999998E-5</v>
      </c>
      <c r="C47" t="s">
        <v>77</v>
      </c>
      <c r="D47" s="8" t="s">
        <v>94</v>
      </c>
      <c r="E47" s="3">
        <f>E45*B55*B56</f>
        <v>50831.478658205342</v>
      </c>
      <c r="F47" t="s">
        <v>81</v>
      </c>
    </row>
    <row r="48" spans="1:8" x14ac:dyDescent="0.25">
      <c r="A48" s="7" t="s">
        <v>69</v>
      </c>
      <c r="B48" s="3">
        <v>0.53439999999999999</v>
      </c>
      <c r="D48" s="8" t="s">
        <v>95</v>
      </c>
      <c r="E48" s="4">
        <f>E47/(B62*B60)</f>
        <v>60.275268108344527</v>
      </c>
      <c r="F48" t="s">
        <v>96</v>
      </c>
    </row>
    <row r="49" spans="1:7" x14ac:dyDescent="0.25">
      <c r="A49" s="7" t="s">
        <v>70</v>
      </c>
      <c r="B49" s="3">
        <v>1500000</v>
      </c>
      <c r="C49" t="s">
        <v>16</v>
      </c>
      <c r="E49" s="3"/>
      <c r="G49" s="4"/>
    </row>
    <row r="50" spans="1:7" x14ac:dyDescent="0.25">
      <c r="A50" s="7" t="s">
        <v>71</v>
      </c>
      <c r="B50" s="3">
        <f>0.000513111301563</f>
        <v>5.1311130156299995E-4</v>
      </c>
      <c r="C50" t="s">
        <v>23</v>
      </c>
    </row>
    <row r="51" spans="1:7" x14ac:dyDescent="0.25">
      <c r="A51" s="7" t="s">
        <v>72</v>
      </c>
      <c r="B51" s="3">
        <v>1.2169000000000001</v>
      </c>
    </row>
    <row r="52" spans="1:7" x14ac:dyDescent="0.25">
      <c r="A52" s="7" t="s">
        <v>73</v>
      </c>
      <c r="B52" s="3">
        <v>3573</v>
      </c>
      <c r="C52" t="s">
        <v>78</v>
      </c>
    </row>
    <row r="53" spans="1:7" x14ac:dyDescent="0.25">
      <c r="A53" s="7" t="s">
        <v>74</v>
      </c>
      <c r="B53" s="3">
        <v>2601</v>
      </c>
      <c r="C53" t="s">
        <v>19</v>
      </c>
    </row>
    <row r="54" spans="1:7" ht="30" x14ac:dyDescent="0.25">
      <c r="A54" s="10" t="s">
        <v>82</v>
      </c>
      <c r="B54" s="3">
        <v>34820.690999999999</v>
      </c>
      <c r="C54" t="s">
        <v>35</v>
      </c>
    </row>
    <row r="55" spans="1:7" x14ac:dyDescent="0.25">
      <c r="A55" s="7"/>
      <c r="B55" s="3">
        <f>B54/1000000</f>
        <v>3.4820691000000001E-2</v>
      </c>
      <c r="C55" t="s">
        <v>23</v>
      </c>
    </row>
    <row r="56" spans="1:7" x14ac:dyDescent="0.25">
      <c r="A56" s="7" t="s">
        <v>80</v>
      </c>
      <c r="B56" s="3">
        <v>5</v>
      </c>
      <c r="C56" t="s">
        <v>20</v>
      </c>
    </row>
    <row r="57" spans="1:7" x14ac:dyDescent="0.25">
      <c r="A57" s="7" t="s">
        <v>83</v>
      </c>
      <c r="B57" s="3">
        <v>1</v>
      </c>
    </row>
    <row r="58" spans="1:7" x14ac:dyDescent="0.25">
      <c r="A58" s="7" t="s">
        <v>90</v>
      </c>
      <c r="B58" s="3">
        <v>0.01</v>
      </c>
      <c r="C58" t="s">
        <v>17</v>
      </c>
    </row>
    <row r="59" spans="1:7" x14ac:dyDescent="0.25">
      <c r="A59" s="7" t="s">
        <v>92</v>
      </c>
      <c r="B59" s="3">
        <v>2700</v>
      </c>
      <c r="C59" t="s">
        <v>65</v>
      </c>
    </row>
    <row r="60" spans="1:7" x14ac:dyDescent="0.25">
      <c r="A60" s="7" t="s">
        <v>97</v>
      </c>
      <c r="B60" s="3">
        <v>897</v>
      </c>
      <c r="C60" t="s">
        <v>98</v>
      </c>
    </row>
    <row r="61" spans="1:7" x14ac:dyDescent="0.25">
      <c r="A61" s="6" t="s">
        <v>89</v>
      </c>
      <c r="B61" s="3">
        <f>B55*B58</f>
        <v>3.4820690999999999E-4</v>
      </c>
      <c r="C61" t="s">
        <v>28</v>
      </c>
    </row>
    <row r="62" spans="1:7" x14ac:dyDescent="0.25">
      <c r="A62" s="6" t="s">
        <v>91</v>
      </c>
      <c r="B62" s="3">
        <f>B59*B61</f>
        <v>0.94015865700000001</v>
      </c>
      <c r="C62" t="s">
        <v>93</v>
      </c>
    </row>
  </sheetData>
  <phoneticPr fontId="6" type="noConversion"/>
  <pageMargins left="0.7" right="0.7" top="0.75" bottom="0.75" header="0.3" footer="0.3"/>
  <pageSetup orientation="portrait" horizontalDpi="4294967295" verticalDpi="4294967295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88E2C5-E7DE-4BA6-82ED-A74C22A8EE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Lithum Seneviratne</dc:creator>
  <cp:lastModifiedBy>Seneviratne, Lithum</cp:lastModifiedBy>
  <cp:lastPrinted>2025-06-15T14:14:40Z</cp:lastPrinted>
  <dcterms:created xsi:type="dcterms:W3CDTF">2015-06-05T18:17:20Z</dcterms:created>
  <dcterms:modified xsi:type="dcterms:W3CDTF">2025-07-06T23:15:17Z</dcterms:modified>
</cp:coreProperties>
</file>